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ipmm-my.sharepoint.com/personal/brandon_tay_sipmm_edu_sg/Documents/Projects/SIPMM/PMI/Agentic/DeepResearch/inference/eval_data/file_corpus/"/>
    </mc:Choice>
  </mc:AlternateContent>
  <xr:revisionPtr revIDLastSave="252" documentId="11_F25DC773A252ABDACC1048E5D11B68F45BDE58E0" xr6:coauthVersionLast="47" xr6:coauthVersionMax="47" xr10:uidLastSave="{5520E706-5FA5-4B12-9346-09772D7D06CC}"/>
  <bookViews>
    <workbookView xWindow="10008" yWindow="2484" windowWidth="19140" windowHeight="12708" activeTab="4" xr2:uid="{00000000-000D-0000-FFFF-FFFF00000000}"/>
  </bookViews>
  <sheets>
    <sheet name="Survey" sheetId="1" r:id="rId1"/>
    <sheet name="Company" sheetId="2" r:id="rId2"/>
    <sheet name="Weightage" sheetId="3" r:id="rId3"/>
    <sheet name="Extract" sheetId="4" r:id="rId4"/>
    <sheet name="Iteration" sheetId="5" r:id="rId5"/>
    <sheet name="Index" sheetId="6" r:id="rId6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H12" i="3"/>
  <c r="F12" i="3"/>
  <c r="D12" i="3"/>
  <c r="E12" i="3"/>
  <c r="E6" i="2" l="1"/>
  <c r="E12" i="2" s="1"/>
</calcChain>
</file>

<file path=xl/sharedStrings.xml><?xml version="1.0" encoding="utf-8"?>
<sst xmlns="http://schemas.openxmlformats.org/spreadsheetml/2006/main" count="192" uniqueCount="75">
  <si>
    <t>No.</t>
  </si>
  <si>
    <t>Subject</t>
  </si>
  <si>
    <t>Question</t>
  </si>
  <si>
    <t>Option to Select</t>
  </si>
  <si>
    <t>New Orders</t>
  </si>
  <si>
    <t>When compared to last month, are the new sales orders higher, the same, or lower this month?</t>
  </si>
  <si>
    <t>1. Lower
2. No change
3. Higher</t>
  </si>
  <si>
    <t>New Export Orders</t>
  </si>
  <si>
    <t xml:space="preserve">When compared to last month, are the new export sales higher, the same, or lower this month? </t>
  </si>
  <si>
    <t>Output</t>
  </si>
  <si>
    <t xml:space="preserve">When compared to last month, is the factory output higher, the same, or lower this month? </t>
  </si>
  <si>
    <t>Stocks of Input Purchases</t>
  </si>
  <si>
    <t>When compared to last month, are the stocks of input purchases higher, the same, or lower this month?</t>
  </si>
  <si>
    <t>Stocks of Finished Goods</t>
  </si>
  <si>
    <t>When compared to last month, are the stocks of finished goods higher, the same, or lower this month?</t>
  </si>
  <si>
    <t>Imports</t>
  </si>
  <si>
    <t>When compared to last month, are the total imports higher, the same, or lower this month?</t>
  </si>
  <si>
    <t>Input Prices</t>
  </si>
  <si>
    <t>When compared to last month, are total costs of the input materials for production higher, the same, or lower this month?</t>
  </si>
  <si>
    <t>Employment</t>
  </si>
  <si>
    <t xml:space="preserve">When compared to last month, is the company’s employment strength higher, the same, or lower this month? </t>
  </si>
  <si>
    <t>Supplier Deliveries</t>
  </si>
  <si>
    <t>When compared to last month, are total supplier deliveries faster, the same, or slower this month?</t>
  </si>
  <si>
    <t>1. Slower
2. No change
3. Faster</t>
  </si>
  <si>
    <t>Backlogs of Orders</t>
  </si>
  <si>
    <t>When compared to last month, are the company’s unfulfilled sales orders higher, the same, or lower this month?</t>
  </si>
  <si>
    <t>Future Business</t>
  </si>
  <si>
    <t>When compared to last month, do you expect the company’s future manufacturing activity to be higher, the same, or lower this month?</t>
  </si>
  <si>
    <t>Your Comments</t>
  </si>
  <si>
    <t>Please highlight your concern(s) of the company’s activity going forward.</t>
  </si>
  <si>
    <t>Respondent Comment</t>
  </si>
  <si>
    <t>Company</t>
  </si>
  <si>
    <t>Country</t>
  </si>
  <si>
    <t>Economic Sector</t>
  </si>
  <si>
    <t>Thermo Fisher Scientific</t>
  </si>
  <si>
    <t>Singapore</t>
  </si>
  <si>
    <t>Biomedical Manufacturing (Medical Technology)</t>
  </si>
  <si>
    <t>Novartis</t>
  </si>
  <si>
    <t>Biomedical Manufacturing (Pharmaceutical)</t>
  </si>
  <si>
    <t>Aster Chemicals and Energy</t>
  </si>
  <si>
    <t>Chemicals Manufacturing (Petroleum &amp; Petrochemicals)</t>
  </si>
  <si>
    <t>Evonik</t>
  </si>
  <si>
    <t>Chemicals Manufacturing (Specialties &amp; Other Chemicals)</t>
  </si>
  <si>
    <t>Venture Corporation</t>
  </si>
  <si>
    <t>Electronics Manufacturing (Non-Semiconductors)</t>
  </si>
  <si>
    <t>Micron Technology</t>
  </si>
  <si>
    <t>Electronics Manufacturing (Semiconductors)</t>
  </si>
  <si>
    <t>Frencken Group</t>
  </si>
  <si>
    <t>Precision Engineering Manufacturing</t>
  </si>
  <si>
    <t>SIA Engineering Company</t>
  </si>
  <si>
    <t>Transport Engineering Manufacturing</t>
  </si>
  <si>
    <t>Other Manufacturing</t>
  </si>
  <si>
    <t>Weightage</t>
  </si>
  <si>
    <t>Higher</t>
  </si>
  <si>
    <t>Lower</t>
  </si>
  <si>
    <t>No Change</t>
  </si>
  <si>
    <t>Sector</t>
  </si>
  <si>
    <t>Year</t>
  </si>
  <si>
    <t>Month</t>
  </si>
  <si>
    <t>September</t>
  </si>
  <si>
    <t>Iteration</t>
  </si>
  <si>
    <t>Answer</t>
  </si>
  <si>
    <t>New Weightage</t>
  </si>
  <si>
    <t>New Orders Index</t>
  </si>
  <si>
    <t>New Export Orders Index</t>
  </si>
  <si>
    <t>August</t>
  </si>
  <si>
    <t>Output Index</t>
  </si>
  <si>
    <t>Stocks of Input Purchases Index</t>
  </si>
  <si>
    <t>Stocks of Finished Goods Index</t>
  </si>
  <si>
    <t>Imports Index</t>
  </si>
  <si>
    <t>Input Prices Index</t>
  </si>
  <si>
    <t>Employment Index</t>
  </si>
  <si>
    <t>Supplier Deliveries Index</t>
  </si>
  <si>
    <t>Backlogs of Orders Index</t>
  </si>
  <si>
    <t>Future Business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</si>
</sst>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90" zoomScaleNormal="90" workbookViewId="0">
      <selection activeCell="C16" sqref="C16"/>
    </sheetView>
  </sheetViews>
  <sheetFormatPr defaultRowHeight="14.4" x14ac:dyDescent="0.3"/>
  <cols>
    <col min="2" max="2" width="23.6640625" bestFit="1" customWidth="1"/>
    <col min="3" max="3" width="124.109375" bestFit="1" customWidth="1"/>
    <col min="4" max="4" width="3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6</v>
      </c>
    </row>
    <row r="4" spans="1:4" x14ac:dyDescent="0.3">
      <c r="A4">
        <v>3</v>
      </c>
      <c r="B4" t="s">
        <v>9</v>
      </c>
      <c r="C4" t="s">
        <v>10</v>
      </c>
      <c r="D4" t="s">
        <v>6</v>
      </c>
    </row>
    <row r="5" spans="1:4" x14ac:dyDescent="0.3">
      <c r="A5">
        <v>4</v>
      </c>
      <c r="B5" t="s">
        <v>11</v>
      </c>
      <c r="C5" t="s">
        <v>12</v>
      </c>
      <c r="D5" t="s">
        <v>6</v>
      </c>
    </row>
    <row r="6" spans="1:4" x14ac:dyDescent="0.3">
      <c r="A6">
        <v>5</v>
      </c>
      <c r="B6" t="s">
        <v>13</v>
      </c>
      <c r="C6" t="s">
        <v>14</v>
      </c>
      <c r="D6" t="s">
        <v>6</v>
      </c>
    </row>
    <row r="7" spans="1:4" x14ac:dyDescent="0.3">
      <c r="A7">
        <v>6</v>
      </c>
      <c r="B7" t="s">
        <v>15</v>
      </c>
      <c r="C7" t="s">
        <v>16</v>
      </c>
      <c r="D7" t="s">
        <v>6</v>
      </c>
    </row>
    <row r="8" spans="1:4" x14ac:dyDescent="0.3">
      <c r="A8">
        <v>7</v>
      </c>
      <c r="B8" t="s">
        <v>17</v>
      </c>
      <c r="C8" t="s">
        <v>18</v>
      </c>
      <c r="D8" t="s">
        <v>6</v>
      </c>
    </row>
    <row r="9" spans="1:4" x14ac:dyDescent="0.3">
      <c r="A9">
        <v>8</v>
      </c>
      <c r="B9" t="s">
        <v>19</v>
      </c>
      <c r="C9" t="s">
        <v>20</v>
      </c>
      <c r="D9" t="s">
        <v>6</v>
      </c>
    </row>
    <row r="10" spans="1:4" x14ac:dyDescent="0.3">
      <c r="A10">
        <v>9</v>
      </c>
      <c r="B10" t="s">
        <v>21</v>
      </c>
      <c r="C10" t="s">
        <v>22</v>
      </c>
      <c r="D10" t="s">
        <v>23</v>
      </c>
    </row>
    <row r="11" spans="1:4" x14ac:dyDescent="0.3">
      <c r="A11">
        <v>10</v>
      </c>
      <c r="B11" t="s">
        <v>24</v>
      </c>
      <c r="C11" t="s">
        <v>25</v>
      </c>
      <c r="D11" t="s">
        <v>6</v>
      </c>
    </row>
    <row r="12" spans="1:4" x14ac:dyDescent="0.3">
      <c r="A12">
        <v>11</v>
      </c>
      <c r="B12" t="s">
        <v>26</v>
      </c>
      <c r="C12" t="s">
        <v>27</v>
      </c>
      <c r="D12" t="s">
        <v>6</v>
      </c>
    </row>
    <row r="13" spans="1:4" x14ac:dyDescent="0.3">
      <c r="A13">
        <v>12</v>
      </c>
      <c r="B13" t="s">
        <v>28</v>
      </c>
      <c r="C13" t="s">
        <v>29</v>
      </c>
      <c r="D13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661B-7335-47E7-80BC-DB73C02EC272}">
  <dimension ref="A1:E12"/>
  <sheetViews>
    <sheetView zoomScale="110" zoomScaleNormal="110" workbookViewId="0">
      <selection activeCell="D2" sqref="D2:D9"/>
    </sheetView>
  </sheetViews>
  <sheetFormatPr defaultRowHeight="14.4" x14ac:dyDescent="0.3"/>
  <cols>
    <col min="2" max="2" width="25.88671875" bestFit="1" customWidth="1"/>
    <col min="3" max="3" width="9.88671875" bestFit="1" customWidth="1"/>
    <col min="4" max="4" width="59.88671875" customWidth="1"/>
    <col min="5" max="5" width="11.44140625" customWidth="1"/>
  </cols>
  <sheetData>
    <row r="1" spans="1:5" x14ac:dyDescent="0.3">
      <c r="A1" t="s">
        <v>0</v>
      </c>
      <c r="B1" t="s">
        <v>31</v>
      </c>
      <c r="C1" t="s">
        <v>32</v>
      </c>
      <c r="D1" t="s">
        <v>33</v>
      </c>
      <c r="E1" t="s">
        <v>52</v>
      </c>
    </row>
    <row r="2" spans="1:5" x14ac:dyDescent="0.3">
      <c r="A2">
        <v>1</v>
      </c>
      <c r="B2" t="s">
        <v>34</v>
      </c>
      <c r="C2" t="s">
        <v>35</v>
      </c>
      <c r="D2" t="s">
        <v>36</v>
      </c>
      <c r="E2">
        <v>5.8</v>
      </c>
    </row>
    <row r="3" spans="1:5" x14ac:dyDescent="0.3">
      <c r="A3">
        <v>2</v>
      </c>
      <c r="B3" t="s">
        <v>37</v>
      </c>
      <c r="C3" t="s">
        <v>35</v>
      </c>
      <c r="D3" t="s">
        <v>38</v>
      </c>
      <c r="E3">
        <v>8.3000000000000007</v>
      </c>
    </row>
    <row r="4" spans="1:5" x14ac:dyDescent="0.3">
      <c r="A4">
        <v>3</v>
      </c>
      <c r="B4" t="s">
        <v>39</v>
      </c>
      <c r="C4" t="s">
        <v>35</v>
      </c>
      <c r="D4" t="s">
        <v>40</v>
      </c>
      <c r="E4">
        <v>17.8</v>
      </c>
    </row>
    <row r="5" spans="1:5" x14ac:dyDescent="0.3">
      <c r="A5">
        <v>4</v>
      </c>
      <c r="B5" t="s">
        <v>41</v>
      </c>
      <c r="C5" t="s">
        <v>35</v>
      </c>
      <c r="D5" t="s">
        <v>42</v>
      </c>
      <c r="E5">
        <v>0</v>
      </c>
    </row>
    <row r="6" spans="1:5" x14ac:dyDescent="0.3">
      <c r="A6">
        <v>5</v>
      </c>
      <c r="B6" t="s">
        <v>43</v>
      </c>
      <c r="C6" t="s">
        <v>35</v>
      </c>
      <c r="D6" t="s">
        <v>44</v>
      </c>
      <c r="E6">
        <f>37.4-30.7</f>
        <v>6.6999999999999993</v>
      </c>
    </row>
    <row r="7" spans="1:5" x14ac:dyDescent="0.3">
      <c r="A7">
        <v>6</v>
      </c>
      <c r="B7" t="s">
        <v>45</v>
      </c>
      <c r="C7" t="s">
        <v>35</v>
      </c>
      <c r="D7" t="s">
        <v>46</v>
      </c>
      <c r="E7">
        <v>30.7</v>
      </c>
    </row>
    <row r="8" spans="1:5" x14ac:dyDescent="0.3">
      <c r="A8">
        <v>7</v>
      </c>
      <c r="B8" t="s">
        <v>47</v>
      </c>
      <c r="C8" t="s">
        <v>35</v>
      </c>
      <c r="D8" t="s">
        <v>48</v>
      </c>
      <c r="E8">
        <v>15.8</v>
      </c>
    </row>
    <row r="9" spans="1:5" x14ac:dyDescent="0.3">
      <c r="A9">
        <v>8</v>
      </c>
      <c r="B9" t="s">
        <v>49</v>
      </c>
      <c r="C9" t="s">
        <v>35</v>
      </c>
      <c r="D9" t="s">
        <v>50</v>
      </c>
      <c r="E9">
        <v>8.1999999999999993</v>
      </c>
    </row>
    <row r="10" spans="1:5" x14ac:dyDescent="0.3">
      <c r="C10" t="s">
        <v>35</v>
      </c>
      <c r="D10" t="s">
        <v>51</v>
      </c>
      <c r="E10">
        <v>6.6</v>
      </c>
    </row>
    <row r="12" spans="1:5" x14ac:dyDescent="0.3">
      <c r="E12">
        <f>SUM(E2:E10)</f>
        <v>99.899999999999991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F01E-8E3F-48AF-8CBA-60CDD6836D28}">
  <dimension ref="A1:H12"/>
  <sheetViews>
    <sheetView workbookViewId="0">
      <selection activeCell="C12" sqref="C12"/>
    </sheetView>
  </sheetViews>
  <sheetFormatPr defaultRowHeight="14.4" x14ac:dyDescent="0.3"/>
  <cols>
    <col min="2" max="2" width="14.6640625" customWidth="1"/>
    <col min="3" max="3" width="53" bestFit="1" customWidth="1"/>
    <col min="4" max="4" width="16.5546875" customWidth="1"/>
    <col min="5" max="5" width="10.5546875" bestFit="1" customWidth="1"/>
    <col min="7" max="7" width="10.33203125" bestFit="1" customWidth="1"/>
  </cols>
  <sheetData>
    <row r="1" spans="1:8" x14ac:dyDescent="0.3">
      <c r="F1" s="1" t="s">
        <v>4</v>
      </c>
      <c r="G1" s="1"/>
      <c r="H1" s="1"/>
    </row>
    <row r="2" spans="1:8" x14ac:dyDescent="0.3">
      <c r="A2" t="s">
        <v>57</v>
      </c>
      <c r="B2" t="s">
        <v>58</v>
      </c>
      <c r="C2" t="s">
        <v>33</v>
      </c>
      <c r="D2" t="s">
        <v>62</v>
      </c>
      <c r="E2" t="s">
        <v>52</v>
      </c>
      <c r="F2" t="s">
        <v>53</v>
      </c>
      <c r="G2" t="s">
        <v>55</v>
      </c>
      <c r="H2" t="s">
        <v>54</v>
      </c>
    </row>
    <row r="3" spans="1:8" x14ac:dyDescent="0.3">
      <c r="A3">
        <v>2025</v>
      </c>
      <c r="B3" t="s">
        <v>59</v>
      </c>
      <c r="C3" t="s">
        <v>36</v>
      </c>
      <c r="D3" s="2">
        <v>6.6</v>
      </c>
      <c r="E3">
        <v>5.8</v>
      </c>
      <c r="F3">
        <v>1</v>
      </c>
      <c r="G3">
        <v>0</v>
      </c>
      <c r="H3">
        <v>0</v>
      </c>
    </row>
    <row r="4" spans="1:8" x14ac:dyDescent="0.3">
      <c r="A4">
        <v>2025</v>
      </c>
      <c r="B4" t="s">
        <v>59</v>
      </c>
      <c r="C4" t="s">
        <v>38</v>
      </c>
      <c r="D4" s="2">
        <v>9.1</v>
      </c>
      <c r="E4">
        <v>8.3000000000000007</v>
      </c>
      <c r="F4">
        <v>1</v>
      </c>
      <c r="G4">
        <v>0</v>
      </c>
      <c r="H4">
        <v>0</v>
      </c>
    </row>
    <row r="5" spans="1:8" x14ac:dyDescent="0.3">
      <c r="A5">
        <v>2025</v>
      </c>
      <c r="B5" t="s">
        <v>59</v>
      </c>
      <c r="C5" t="s">
        <v>40</v>
      </c>
      <c r="D5" s="2">
        <v>11.3</v>
      </c>
      <c r="E5">
        <v>10.4</v>
      </c>
      <c r="F5">
        <v>0</v>
      </c>
      <c r="G5">
        <v>0</v>
      </c>
      <c r="H5">
        <v>1</v>
      </c>
    </row>
    <row r="6" spans="1:8" x14ac:dyDescent="0.3">
      <c r="A6">
        <v>2025</v>
      </c>
      <c r="B6" t="s">
        <v>59</v>
      </c>
      <c r="C6" t="s">
        <v>42</v>
      </c>
      <c r="D6" s="2">
        <v>8.1999999999999993</v>
      </c>
      <c r="E6">
        <v>7.4</v>
      </c>
      <c r="F6">
        <v>1</v>
      </c>
      <c r="G6">
        <v>0</v>
      </c>
      <c r="H6">
        <v>0</v>
      </c>
    </row>
    <row r="7" spans="1:8" x14ac:dyDescent="0.3">
      <c r="A7">
        <v>2025</v>
      </c>
      <c r="B7" t="s">
        <v>59</v>
      </c>
      <c r="C7" t="s">
        <v>44</v>
      </c>
      <c r="D7" s="2">
        <v>7.5</v>
      </c>
      <c r="E7">
        <v>6.6999999999999993</v>
      </c>
      <c r="F7">
        <v>1</v>
      </c>
      <c r="G7">
        <v>0</v>
      </c>
      <c r="H7">
        <v>0</v>
      </c>
    </row>
    <row r="8" spans="1:8" x14ac:dyDescent="0.3">
      <c r="A8">
        <v>2025</v>
      </c>
      <c r="B8" t="s">
        <v>59</v>
      </c>
      <c r="C8" t="s">
        <v>46</v>
      </c>
      <c r="D8" s="2">
        <v>31.6</v>
      </c>
      <c r="E8">
        <v>30.7</v>
      </c>
      <c r="F8">
        <v>1</v>
      </c>
      <c r="G8">
        <v>0</v>
      </c>
      <c r="H8">
        <v>0</v>
      </c>
    </row>
    <row r="9" spans="1:8" x14ac:dyDescent="0.3">
      <c r="A9">
        <v>2025</v>
      </c>
      <c r="B9" t="s">
        <v>59</v>
      </c>
      <c r="C9" t="s">
        <v>48</v>
      </c>
      <c r="D9" s="2">
        <v>16.7</v>
      </c>
      <c r="E9">
        <v>15.8</v>
      </c>
      <c r="F9">
        <v>1</v>
      </c>
      <c r="G9">
        <v>0</v>
      </c>
      <c r="H9">
        <v>0</v>
      </c>
    </row>
    <row r="10" spans="1:8" x14ac:dyDescent="0.3">
      <c r="A10">
        <v>2025</v>
      </c>
      <c r="B10" t="s">
        <v>59</v>
      </c>
      <c r="C10" t="s">
        <v>50</v>
      </c>
      <c r="D10" s="2">
        <v>9</v>
      </c>
      <c r="E10">
        <v>8.1999999999999993</v>
      </c>
      <c r="F10">
        <v>1</v>
      </c>
      <c r="G10">
        <v>0</v>
      </c>
      <c r="H10">
        <v>0</v>
      </c>
    </row>
    <row r="11" spans="1:8" x14ac:dyDescent="0.3">
      <c r="A11">
        <v>2025</v>
      </c>
      <c r="B11" t="s">
        <v>59</v>
      </c>
      <c r="C11" t="s">
        <v>51</v>
      </c>
      <c r="D11" s="2">
        <v>0</v>
      </c>
      <c r="E11">
        <v>6.6</v>
      </c>
    </row>
    <row r="12" spans="1:8" x14ac:dyDescent="0.3">
      <c r="D12" s="2">
        <f>SUM(D3:D11)</f>
        <v>100.00000000000001</v>
      </c>
      <c r="E12">
        <f>SUM(E3:E11)</f>
        <v>99.899999999999991</v>
      </c>
      <c r="F12">
        <f>$D3*F3+$D4*F4+$D5*F5+$D6*F6+$D7*F7+$D8*F8+$D9*F9+$D10*F10+$D11*F11</f>
        <v>88.7</v>
      </c>
      <c r="G12">
        <f t="shared" ref="G12:H12" si="0">$D3*G3+$D4*G4+$D5*G5+$D6*G6+$D7*G7+$D8*G8+$D9*G9+$D10*G10+$D11*G11</f>
        <v>0</v>
      </c>
      <c r="H12">
        <f t="shared" si="0"/>
        <v>11.3</v>
      </c>
    </row>
  </sheetData>
  <mergeCells count="1">
    <mergeCell ref="F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5B7D-B916-42DA-AECD-0A75AACEEFBB}">
  <dimension ref="A1:O9"/>
  <sheetViews>
    <sheetView topLeftCell="D1" workbookViewId="0">
      <selection activeCell="E1" sqref="E1:O1"/>
    </sheetView>
  </sheetViews>
  <sheetFormatPr defaultRowHeight="14.4" x14ac:dyDescent="0.3"/>
  <cols>
    <col min="2" max="2" width="11.21875" customWidth="1"/>
    <col min="3" max="3" width="8.77734375" customWidth="1"/>
    <col min="4" max="4" width="47.109375" customWidth="1"/>
    <col min="5" max="5" width="10.6640625" bestFit="1" customWidth="1"/>
    <col min="6" max="6" width="16.5546875" bestFit="1" customWidth="1"/>
    <col min="7" max="7" width="9.44140625" customWidth="1"/>
    <col min="8" max="8" width="22" bestFit="1" customWidth="1"/>
  </cols>
  <sheetData>
    <row r="1" spans="1:15" x14ac:dyDescent="0.3">
      <c r="A1" t="s">
        <v>57</v>
      </c>
      <c r="B1" t="s">
        <v>58</v>
      </c>
      <c r="C1" t="s">
        <v>32</v>
      </c>
      <c r="D1" t="s">
        <v>56</v>
      </c>
      <c r="E1" t="s">
        <v>4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  <c r="N1" t="s">
        <v>24</v>
      </c>
      <c r="O1" t="s">
        <v>26</v>
      </c>
    </row>
    <row r="2" spans="1:15" x14ac:dyDescent="0.3">
      <c r="A2">
        <v>2025</v>
      </c>
      <c r="B2" t="s">
        <v>59</v>
      </c>
      <c r="C2" t="s">
        <v>35</v>
      </c>
      <c r="D2" t="s">
        <v>36</v>
      </c>
    </row>
    <row r="3" spans="1:15" x14ac:dyDescent="0.3">
      <c r="A3">
        <v>2025</v>
      </c>
      <c r="B3" t="s">
        <v>59</v>
      </c>
      <c r="C3" t="s">
        <v>35</v>
      </c>
      <c r="D3" t="s">
        <v>38</v>
      </c>
    </row>
    <row r="4" spans="1:15" x14ac:dyDescent="0.3">
      <c r="A4">
        <v>2025</v>
      </c>
      <c r="B4" t="s">
        <v>59</v>
      </c>
      <c r="C4" t="s">
        <v>35</v>
      </c>
      <c r="D4" t="s">
        <v>40</v>
      </c>
    </row>
    <row r="5" spans="1:15" x14ac:dyDescent="0.3">
      <c r="A5">
        <v>2025</v>
      </c>
      <c r="B5" t="s">
        <v>59</v>
      </c>
      <c r="C5" t="s">
        <v>35</v>
      </c>
      <c r="D5" t="s">
        <v>42</v>
      </c>
    </row>
    <row r="6" spans="1:15" x14ac:dyDescent="0.3">
      <c r="A6">
        <v>2025</v>
      </c>
      <c r="B6" t="s">
        <v>59</v>
      </c>
      <c r="C6" t="s">
        <v>35</v>
      </c>
      <c r="D6" t="s">
        <v>44</v>
      </c>
    </row>
    <row r="7" spans="1:15" x14ac:dyDescent="0.3">
      <c r="A7">
        <v>2025</v>
      </c>
      <c r="B7" t="s">
        <v>59</v>
      </c>
      <c r="C7" t="s">
        <v>35</v>
      </c>
      <c r="D7" t="s">
        <v>46</v>
      </c>
    </row>
    <row r="8" spans="1:15" x14ac:dyDescent="0.3">
      <c r="A8">
        <v>2025</v>
      </c>
      <c r="B8" t="s">
        <v>59</v>
      </c>
      <c r="C8" t="s">
        <v>35</v>
      </c>
      <c r="D8" t="s">
        <v>48</v>
      </c>
    </row>
    <row r="9" spans="1:15" x14ac:dyDescent="0.3">
      <c r="A9">
        <v>2025</v>
      </c>
      <c r="B9" t="s">
        <v>59</v>
      </c>
      <c r="C9" t="s">
        <v>35</v>
      </c>
      <c r="D9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21FF-23D9-4BC1-A03E-AE437A8A0A00}">
  <dimension ref="A1:G7"/>
  <sheetViews>
    <sheetView tabSelected="1" workbookViewId="0">
      <selection activeCell="D9" sqref="D9"/>
    </sheetView>
  </sheetViews>
  <sheetFormatPr defaultRowHeight="14.4" x14ac:dyDescent="0.3"/>
  <cols>
    <col min="2" max="2" width="9.77734375" bestFit="1" customWidth="1"/>
    <col min="4" max="4" width="40.88671875" bestFit="1" customWidth="1"/>
    <col min="5" max="5" width="16.5546875" bestFit="1" customWidth="1"/>
    <col min="6" max="6" width="8.44140625" customWidth="1"/>
    <col min="7" max="7" width="13.109375" customWidth="1"/>
  </cols>
  <sheetData>
    <row r="1" spans="1:7" x14ac:dyDescent="0.3">
      <c r="A1" t="s">
        <v>57</v>
      </c>
      <c r="B1" t="s">
        <v>58</v>
      </c>
      <c r="C1" t="s">
        <v>32</v>
      </c>
      <c r="D1" t="s">
        <v>56</v>
      </c>
      <c r="E1" t="s">
        <v>2</v>
      </c>
      <c r="F1" t="s">
        <v>60</v>
      </c>
      <c r="G1" t="s">
        <v>61</v>
      </c>
    </row>
    <row r="2" spans="1:7" x14ac:dyDescent="0.3">
      <c r="A2">
        <v>2025</v>
      </c>
      <c r="B2" t="s">
        <v>59</v>
      </c>
      <c r="C2" t="s">
        <v>35</v>
      </c>
      <c r="D2" t="s">
        <v>36</v>
      </c>
      <c r="E2" t="s">
        <v>4</v>
      </c>
      <c r="F2">
        <v>1</v>
      </c>
      <c r="G2" t="s">
        <v>53</v>
      </c>
    </row>
    <row r="3" spans="1:7" x14ac:dyDescent="0.3">
      <c r="A3">
        <v>2025</v>
      </c>
      <c r="B3" t="s">
        <v>59</v>
      </c>
      <c r="C3" t="s">
        <v>35</v>
      </c>
      <c r="D3" t="s">
        <v>36</v>
      </c>
      <c r="E3" t="s">
        <v>4</v>
      </c>
      <c r="F3">
        <v>2</v>
      </c>
      <c r="G3" t="s">
        <v>54</v>
      </c>
    </row>
    <row r="4" spans="1:7" x14ac:dyDescent="0.3">
      <c r="A4">
        <v>2025</v>
      </c>
      <c r="B4" t="s">
        <v>59</v>
      </c>
      <c r="C4" t="s">
        <v>35</v>
      </c>
      <c r="D4" t="s">
        <v>36</v>
      </c>
      <c r="E4" t="s">
        <v>4</v>
      </c>
      <c r="F4">
        <v>3</v>
      </c>
      <c r="G4" t="s">
        <v>54</v>
      </c>
    </row>
    <row r="5" spans="1:7" x14ac:dyDescent="0.3">
      <c r="A5">
        <v>2025</v>
      </c>
      <c r="B5" t="s">
        <v>59</v>
      </c>
      <c r="C5" t="s">
        <v>35</v>
      </c>
      <c r="D5" t="s">
        <v>36</v>
      </c>
      <c r="E5" t="s">
        <v>7</v>
      </c>
      <c r="F5">
        <v>1</v>
      </c>
      <c r="G5" t="s">
        <v>53</v>
      </c>
    </row>
    <row r="6" spans="1:7" x14ac:dyDescent="0.3">
      <c r="A6">
        <v>2025</v>
      </c>
      <c r="B6" t="s">
        <v>59</v>
      </c>
      <c r="C6" t="s">
        <v>35</v>
      </c>
      <c r="D6" t="s">
        <v>36</v>
      </c>
      <c r="E6" t="s">
        <v>7</v>
      </c>
      <c r="F6">
        <v>2</v>
      </c>
      <c r="G6" t="s">
        <v>55</v>
      </c>
    </row>
    <row r="7" spans="1:7" x14ac:dyDescent="0.3">
      <c r="A7">
        <v>2025</v>
      </c>
      <c r="B7" t="s">
        <v>59</v>
      </c>
      <c r="C7" t="s">
        <v>35</v>
      </c>
      <c r="D7" t="s">
        <v>36</v>
      </c>
      <c r="E7" t="s">
        <v>7</v>
      </c>
      <c r="F7">
        <v>3</v>
      </c>
      <c r="G7" t="s">
        <v>54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7520-9E6C-4F2B-A838-6BF1F94F2FB4}">
  <dimension ref="A2:N4"/>
  <sheetViews>
    <sheetView workbookViewId="0">
      <selection activeCell="N6" sqref="N6"/>
    </sheetView>
  </sheetViews>
  <sheetFormatPr defaultRowHeight="14.4" x14ac:dyDescent="0.3"/>
  <cols>
    <col min="1" max="1" width="5" bestFit="1" customWidth="1"/>
    <col min="2" max="2" width="9.77734375" bestFit="1" customWidth="1"/>
    <col min="4" max="4" width="15.6640625" bestFit="1" customWidth="1"/>
    <col min="5" max="5" width="21.6640625" bestFit="1" customWidth="1"/>
    <col min="13" max="13" width="13.109375" customWidth="1"/>
    <col min="14" max="14" width="18.6640625" bestFit="1" customWidth="1"/>
  </cols>
  <sheetData>
    <row r="2" spans="1:14" x14ac:dyDescent="0.3">
      <c r="A2" t="s">
        <v>57</v>
      </c>
      <c r="B2" t="s">
        <v>58</v>
      </c>
      <c r="C2" t="s">
        <v>32</v>
      </c>
      <c r="D2" t="s">
        <v>63</v>
      </c>
      <c r="E2" t="s">
        <v>64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</row>
    <row r="3" spans="1:14" x14ac:dyDescent="0.3">
      <c r="A3">
        <v>2025</v>
      </c>
      <c r="B3" t="s">
        <v>65</v>
      </c>
      <c r="C3" t="s">
        <v>35</v>
      </c>
      <c r="D3">
        <v>50.2</v>
      </c>
      <c r="E3">
        <v>50.5</v>
      </c>
      <c r="F3">
        <v>49.9</v>
      </c>
      <c r="G3">
        <v>50.7</v>
      </c>
      <c r="H3">
        <v>50.6</v>
      </c>
      <c r="I3">
        <v>50.8</v>
      </c>
      <c r="J3">
        <v>50</v>
      </c>
      <c r="K3">
        <v>49.7</v>
      </c>
      <c r="L3">
        <v>50.2</v>
      </c>
      <c r="M3">
        <v>50.1</v>
      </c>
      <c r="N3">
        <v>49.6</v>
      </c>
    </row>
    <row r="4" spans="1:14" x14ac:dyDescent="0.3">
      <c r="A4">
        <v>2025</v>
      </c>
      <c r="B4" t="s">
        <v>59</v>
      </c>
      <c r="C4" t="s">
        <v>35</v>
      </c>
      <c r="D4">
        <v>50.3</v>
      </c>
      <c r="E4">
        <v>50.6</v>
      </c>
      <c r="F4">
        <v>50</v>
      </c>
      <c r="G4">
        <v>50.8</v>
      </c>
      <c r="H4">
        <v>50.7</v>
      </c>
      <c r="I4">
        <v>51</v>
      </c>
      <c r="J4">
        <v>50.2</v>
      </c>
      <c r="K4">
        <v>49.8</v>
      </c>
      <c r="L4">
        <v>50.1</v>
      </c>
      <c r="M4">
        <v>50.2</v>
      </c>
      <c r="N4">
        <v>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</vt:lpstr>
      <vt:lpstr>Company</vt:lpstr>
      <vt:lpstr>Weightage</vt:lpstr>
      <vt:lpstr>Extract</vt:lpstr>
      <vt:lpstr>Iteration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BTY</dc:creator>
  <cp:lastModifiedBy>Brandon Tay (SIPMM)</cp:lastModifiedBy>
  <dcterms:created xsi:type="dcterms:W3CDTF">2015-06-05T18:17:20Z</dcterms:created>
  <dcterms:modified xsi:type="dcterms:W3CDTF">2025-10-09T09:43:19Z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1ef8d-4e11-41b4-8b63-59d1cc78eb3b_Enabled">
    <vt:lpwstr>true</vt:lpwstr>
  </property>
  <property fmtid="{D5CDD505-2E9C-101B-9397-08002B2CF9AE}" pid="3" name="MSIP_Label_1b51ef8d-4e11-41b4-8b63-59d1cc78eb3b_SetDate">
    <vt:lpwstr>2025-10-05T13:17:20Z</vt:lpwstr>
  </property>
  <property fmtid="{D5CDD505-2E9C-101B-9397-08002B2CF9AE}" pid="4" name="MSIP_Label_1b51ef8d-4e11-41b4-8b63-59d1cc78eb3b_Method">
    <vt:lpwstr>Standard</vt:lpwstr>
  </property>
  <property fmtid="{D5CDD505-2E9C-101B-9397-08002B2CF9AE}" pid="5" name="MSIP_Label_1b51ef8d-4e11-41b4-8b63-59d1cc78eb3b_Name">
    <vt:lpwstr>defa4170-0d19-0005-0004-bc88714345d2</vt:lpwstr>
  </property>
  <property fmtid="{D5CDD505-2E9C-101B-9397-08002B2CF9AE}" pid="6" name="MSIP_Label_1b51ef8d-4e11-41b4-8b63-59d1cc78eb3b_SiteId">
    <vt:lpwstr>b851a536-46f2-4f3e-98d4-0c6d63d2d8ce</vt:lpwstr>
  </property>
  <property fmtid="{D5CDD505-2E9C-101B-9397-08002B2CF9AE}" pid="7" name="MSIP_Label_1b51ef8d-4e11-41b4-8b63-59d1cc78eb3b_ActionId">
    <vt:lpwstr>66fd3bad-c2e2-4456-a374-0ef03ea675a7</vt:lpwstr>
  </property>
  <property fmtid="{D5CDD505-2E9C-101B-9397-08002B2CF9AE}" pid="8" name="MSIP_Label_1b51ef8d-4e11-41b4-8b63-59d1cc78eb3b_ContentBits">
    <vt:lpwstr>0</vt:lpwstr>
  </property>
  <property fmtid="{D5CDD505-2E9C-101B-9397-08002B2CF9AE}" pid="9" name="MSIP_Label_1b51ef8d-4e11-41b4-8b63-59d1cc78eb3b_Tag">
    <vt:lpwstr>10, 3, 0, 1</vt:lpwstr>
  </property>
</Properties>
</file>